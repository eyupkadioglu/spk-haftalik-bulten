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pyhton\ipc_yazı\"/>
    </mc:Choice>
  </mc:AlternateContent>
  <xr:revisionPtr revIDLastSave="0" documentId="13_ncr:1_{417A26A8-1918-4865-99B5-B1AE9F5341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urtarılan_Sayfa1" sheetId="1" r:id="rId1"/>
  </sheets>
  <definedNames>
    <definedName name="_xlnm._FilterDatabase" localSheetId="0" hidden="1">Kurtarılan_Sayfa1!$A$1:$R$52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  <c r="P35" i="1"/>
  <c r="P40" i="1"/>
  <c r="P42" i="1"/>
  <c r="P43" i="1" l="1"/>
  <c r="P47" i="1"/>
  <c r="P41" i="1"/>
  <c r="P45" i="1" s="1"/>
</calcChain>
</file>

<file path=xl/sharedStrings.xml><?xml version="1.0" encoding="utf-8"?>
<sst xmlns="http://schemas.openxmlformats.org/spreadsheetml/2006/main" count="492" uniqueCount="197">
  <si>
    <t>OFD</t>
  </si>
  <si>
    <t>8/281</t>
  </si>
  <si>
    <t>Tahakkuk verildi</t>
  </si>
  <si>
    <t>Diğer</t>
  </si>
  <si>
    <t>AFD</t>
  </si>
  <si>
    <t>MARBAŞ MENKUL DEĞERLER ANONİM ŞİRKETİ (0612004910100015)</t>
  </si>
  <si>
    <t>5/187</t>
  </si>
  <si>
    <t>Tebliğ edildi</t>
  </si>
  <si>
    <t>PGD</t>
  </si>
  <si>
    <t>6/260</t>
  </si>
  <si>
    <t>Tebligat tamamlandı</t>
  </si>
  <si>
    <t>3/46</t>
  </si>
  <si>
    <t>63/2190</t>
  </si>
  <si>
    <t>Ödenmedi/Dava açılmadı</t>
  </si>
  <si>
    <t>İSTANBUL PORTFÖY YÖNETİMİ ANONİM ŞİRKETİ (0481053771800015)</t>
  </si>
  <si>
    <t>58/2043</t>
  </si>
  <si>
    <t>Dava açıldı/Yargılama sürüyor</t>
  </si>
  <si>
    <t>AK YATIRIM MENKUL DEĞERLER ANONİM ŞİRKETİ (0011007783700015)</t>
  </si>
  <si>
    <t>58/2042</t>
  </si>
  <si>
    <t>56/1950</t>
  </si>
  <si>
    <t>46/1518</t>
  </si>
  <si>
    <t>DEDA</t>
  </si>
  <si>
    <t>Başvuru yapılmadı</t>
  </si>
  <si>
    <t>43/874</t>
  </si>
  <si>
    <t>43/875</t>
  </si>
  <si>
    <t>36/751</t>
  </si>
  <si>
    <t>18/417</t>
  </si>
  <si>
    <t>28/795</t>
  </si>
  <si>
    <t>Davanın reddi/Kesin hüküm</t>
  </si>
  <si>
    <t>17/475</t>
  </si>
  <si>
    <t>16/451</t>
  </si>
  <si>
    <t>31/1092</t>
  </si>
  <si>
    <t>2/44</t>
  </si>
  <si>
    <t>Daire</t>
  </si>
  <si>
    <t>Durum</t>
  </si>
  <si>
    <t>DetayId</t>
  </si>
  <si>
    <t>TahsilatId</t>
  </si>
  <si>
    <t>VD Kodu</t>
  </si>
  <si>
    <t>OdemePlanNo</t>
  </si>
  <si>
    <t>Ths Fiş No</t>
  </si>
  <si>
    <t>Tahsil Zaman</t>
  </si>
  <si>
    <t>Tutar(TL)</t>
  </si>
  <si>
    <t>2026021299SPK0002782</t>
  </si>
  <si>
    <t>0tmmbd8nhb1uzq</t>
  </si>
  <si>
    <t>ÜÇKAPILAR VD VERGİ DAİRESİ</t>
  </si>
  <si>
    <t>2026030401MxI0000006</t>
  </si>
  <si>
    <t>2026030403RPC0000225</t>
  </si>
  <si>
    <t>Geçerli</t>
  </si>
  <si>
    <t>TARZAN TARIK SARVAN - (51073602172)</t>
  </si>
  <si>
    <t>Ödendi</t>
  </si>
  <si>
    <t>HASAN KAYA - (35501031840)</t>
  </si>
  <si>
    <t>GÜRSEL ÖZDOĞAN - (26423090220)</t>
  </si>
  <si>
    <t>ÖNDER BODUR - (51547682884)</t>
  </si>
  <si>
    <t>ALİ ZİYA SESEL - (51478160956)</t>
  </si>
  <si>
    <t>AYŞEGÜL KAYA - (30889508922)</t>
  </si>
  <si>
    <t>İlgili Kişi/Şirket</t>
  </si>
  <si>
    <t>Kurul Karar Tarihi</t>
  </si>
  <si>
    <t>Kurul Karar No</t>
  </si>
  <si>
    <t>GİB Durum</t>
  </si>
  <si>
    <t>İPC Durum</t>
  </si>
  <si>
    <t>Ödeme Bilgisi</t>
  </si>
  <si>
    <t>KOCAER ÇELİK SANAYİ VE TİCARET ANONİM ŞİRKETİ (0565060515500019)</t>
  </si>
  <si>
    <t>46/1507</t>
  </si>
  <si>
    <t>Kesinleşti</t>
  </si>
  <si>
    <t>MİA TEKNOLOJİ ANONİM ŞİRKETİ (0621061164900001)</t>
  </si>
  <si>
    <t>44/1413</t>
  </si>
  <si>
    <t>KYD</t>
  </si>
  <si>
    <t>43/1374</t>
  </si>
  <si>
    <t>GÖKHAN ÖZDEK - (47542580904)</t>
  </si>
  <si>
    <t>3/108</t>
  </si>
  <si>
    <t>BERK ERBEY - (32332433508)</t>
  </si>
  <si>
    <t>66/2055</t>
  </si>
  <si>
    <t>MARTI GAYRİMENKUL YATIRIM ORTAKLIĞI ANONİM ŞİRKETİ (0840005385700011)</t>
  </si>
  <si>
    <t>61/1750</t>
  </si>
  <si>
    <t>YENER RAKICIOĞLU - (19796638076)</t>
  </si>
  <si>
    <t>37/1064</t>
  </si>
  <si>
    <t>SERHAT TUNCALP - (11975063204)</t>
  </si>
  <si>
    <t>61/1372</t>
  </si>
  <si>
    <t>AHMET KESTEK - (19837058382)</t>
  </si>
  <si>
    <t>73/1764</t>
  </si>
  <si>
    <t>MEHMET ALİ GÜNEYSU - (17756294898)</t>
  </si>
  <si>
    <t>60/1529</t>
  </si>
  <si>
    <t>59/1498</t>
  </si>
  <si>
    <t>HAMZA FATSA - (16355623696)</t>
  </si>
  <si>
    <t>29/834</t>
  </si>
  <si>
    <t>ÖMER HALİT CELEP - (47398308530)</t>
  </si>
  <si>
    <t>11/324</t>
  </si>
  <si>
    <t>EMİN ÖZDEK - (47623578226)</t>
  </si>
  <si>
    <t>65/1829</t>
  </si>
  <si>
    <t>ESALETTİN ÖZDEK - (47545580840)</t>
  </si>
  <si>
    <t>ABDULKADİR ÖZDEK - (47509582088)</t>
  </si>
  <si>
    <t>MSD</t>
  </si>
  <si>
    <t>BDD BAĞIMSIZ DENETİM VE DANIŞMANLIK ANONİM ŞİRKETİ (0160057574400010)</t>
  </si>
  <si>
    <t>25/753</t>
  </si>
  <si>
    <t>Wood and Company Financial Services AS ()</t>
  </si>
  <si>
    <t>17/556</t>
  </si>
  <si>
    <t>ÖZKAN KILIÇ - (27629116004)</t>
  </si>
  <si>
    <t>15/497</t>
  </si>
  <si>
    <t>62/1222</t>
  </si>
  <si>
    <t>TOLGA ERCAN - (10294120100)</t>
  </si>
  <si>
    <t>ABDULLAH ERCAN - (10285120492)</t>
  </si>
  <si>
    <t>MAHPER KORKMAZ - (18208488582)</t>
  </si>
  <si>
    <t>ALİ YÜCEL - (10963135176)</t>
  </si>
  <si>
    <t>SELÇUK PATLAR - (23597010894)</t>
  </si>
  <si>
    <t>FATİH AKYÜZ - (10052552044)</t>
  </si>
  <si>
    <t>İSMET KASAPOĞLU - (33268754996)</t>
  </si>
  <si>
    <t>DOĞAN CANSIZLAR - (18718055656)</t>
  </si>
  <si>
    <t>2026020599SPK0002767</t>
  </si>
  <si>
    <t>0tmmlgptbl1ewg</t>
  </si>
  <si>
    <t>BEYAZIT VD VERGİ DAİRESİ</t>
  </si>
  <si>
    <t>2026031101AeE0000004</t>
  </si>
  <si>
    <t>2026031103T0j0000132</t>
  </si>
  <si>
    <t>2026011599SPK0002739</t>
  </si>
  <si>
    <t>0tmm4du0eo1lf4</t>
  </si>
  <si>
    <t>KÜÇÜKÇEKMECE VD VERGİ DAİRESİ</t>
  </si>
  <si>
    <t>2026022701MAG0000020</t>
  </si>
  <si>
    <t>b87QYLM7MJW</t>
  </si>
  <si>
    <t>2025120499SPK0002708</t>
  </si>
  <si>
    <t>0tmkqud94m128d</t>
  </si>
  <si>
    <t>BAŞAKŞEHİR VD VERGİ DAİRESİ</t>
  </si>
  <si>
    <t>20260119011rc0000003</t>
  </si>
  <si>
    <t>bOSQ2MJ5A2C</t>
  </si>
  <si>
    <t>2025110799SPK0002688</t>
  </si>
  <si>
    <t>0tmj9bo91y1krm</t>
  </si>
  <si>
    <t>ÜSKÜDAR VD VERGİ DAİRESİ</t>
  </si>
  <si>
    <t>2025121001V930000008</t>
  </si>
  <si>
    <t>b14NAZ8QFAKZ</t>
  </si>
  <si>
    <t>2025102399SPK0002666</t>
  </si>
  <si>
    <t>0tmhy4s32h1ef3</t>
  </si>
  <si>
    <t>BEŞİKTAŞ VD VERGİ DAİRESİ</t>
  </si>
  <si>
    <t>2025111201NBl0000003</t>
  </si>
  <si>
    <t>2025111403NEq0000045</t>
  </si>
  <si>
    <t>2025011699SPK0002465</t>
  </si>
  <si>
    <t>0tmlrrfhhr16mk</t>
  </si>
  <si>
    <t>BURSA VERASET VE HARÇLAR VD VERGİ DAİRESİ</t>
  </si>
  <si>
    <t>2026011301hlm0000011</t>
  </si>
  <si>
    <t>2026021803Gwq0000096</t>
  </si>
  <si>
    <t>2024122699SPK0002428</t>
  </si>
  <si>
    <t>0tmmc4uzpy16tu</t>
  </si>
  <si>
    <t>HİSAR VD VERGİ DAİRESİ</t>
  </si>
  <si>
    <t>2025111701ZSi0000064</t>
  </si>
  <si>
    <t>bMNIA2F94VH</t>
  </si>
  <si>
    <t>2023101899SPK0002086</t>
  </si>
  <si>
    <t>0tmfnorna01463</t>
  </si>
  <si>
    <t>KAYAPINAR VD VERGİ DAİRESİ</t>
  </si>
  <si>
    <t>2024111201n2d0000001</t>
  </si>
  <si>
    <t>2025091703KJW0000206</t>
  </si>
  <si>
    <t>2022120999SPK0001912</t>
  </si>
  <si>
    <t>0tmjun2f241p98</t>
  </si>
  <si>
    <t>ÇUKUROVA VD VERGİ DAİRESİ</t>
  </si>
  <si>
    <t>2025050601RHP0000370</t>
  </si>
  <si>
    <t>b26N08L2T9W4</t>
  </si>
  <si>
    <t>2021032599SPK0001575</t>
  </si>
  <si>
    <t>0tmevb0f99162c</t>
  </si>
  <si>
    <t>HARÇLAR VD VERGİ DAİRESİ</t>
  </si>
  <si>
    <t>20250410011mo0000041</t>
  </si>
  <si>
    <t>20250828031Mm0000350</t>
  </si>
  <si>
    <t>2018070599SPK0000986</t>
  </si>
  <si>
    <t>0tmmv4ynge1vcw</t>
  </si>
  <si>
    <t>20241204011mq0000331</t>
  </si>
  <si>
    <t>20260317031Mp0000195</t>
  </si>
  <si>
    <t>2016111199SPK0000726</t>
  </si>
  <si>
    <t>0tma6exsoh1g7e</t>
  </si>
  <si>
    <t>2024120401ZSk0000135</t>
  </si>
  <si>
    <t>bEIQARIGRY0</t>
  </si>
  <si>
    <t>0tmmc4uzpy16tw</t>
  </si>
  <si>
    <t>b197LWMMH33I</t>
  </si>
  <si>
    <t>0tmmc4uzpy16xa</t>
  </si>
  <si>
    <t>b14C0HCLHECU</t>
  </si>
  <si>
    <t>0tmctpg3ov1wsi</t>
  </si>
  <si>
    <t>2025070803RGM0000040</t>
  </si>
  <si>
    <t>0tmec2v96l1fq1</t>
  </si>
  <si>
    <t>1gme9tfaxg1c1b</t>
  </si>
  <si>
    <t>0tmfybivva1wcz</t>
  </si>
  <si>
    <t>bDN0PEJLVFB</t>
  </si>
  <si>
    <t>0tmkzzjy361vde</t>
  </si>
  <si>
    <t>b1LDS8A16VCI</t>
  </si>
  <si>
    <t>0tmhgasbqf1gr9</t>
  </si>
  <si>
    <t>b2AM72MHOFH2</t>
  </si>
  <si>
    <t>0tminry2aw1wmi</t>
  </si>
  <si>
    <t>b3RMY4S7L0LZ</t>
  </si>
  <si>
    <t>0tmm9suvcx1jz8</t>
  </si>
  <si>
    <t>b13YK7827RAM</t>
  </si>
  <si>
    <t>0tmfoki9lu1r9h</t>
  </si>
  <si>
    <t>20250918031Mm0000086</t>
  </si>
  <si>
    <t>0tmkxk6pbu16dh</t>
  </si>
  <si>
    <t>2026012803DVT0000039</t>
  </si>
  <si>
    <t>IPC id</t>
  </si>
  <si>
    <t>BEŞİKTAŞ MALMÜDÜRLÜĞÜ</t>
  </si>
  <si>
    <t>Adı</t>
  </si>
  <si>
    <t>ABCD VERGİ DAİRESİ</t>
  </si>
  <si>
    <t>CDEFG VERGİ DAİRESİ</t>
  </si>
  <si>
    <t>BCD VERGİ DAİRESİ</t>
  </si>
  <si>
    <t>CDEF VERGİ DAİRESİ</t>
  </si>
  <si>
    <t>CDE VERGİ DAİRESİ</t>
  </si>
  <si>
    <t>CDEFGh VERGİ DAİRESİ</t>
  </si>
  <si>
    <t>ABC VERGİ DAİRESİ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</si>
</sst>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7" fontId="0" fillId="0" borderId="0" xfId="0" quotePrefix="1" applyNumberFormat="1"/>
    <xf numFmtId="0" fontId="1" fillId="0" borderId="0" xfId="0" applyFont="1" applyAlignment="1">
      <alignment wrapText="1"/>
    </xf>
    <xf numFmtId="3" fontId="0" fillId="0" borderId="0" xfId="0" applyNumberFormat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4" fontId="0" fillId="0" borderId="0" xfId="0" applyNumberForma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3"/>
  <sheetViews>
    <sheetView tabSelected="1" zoomScale="85" zoomScaleNormal="85" workbookViewId="0">
      <pane ySplit="1" topLeftCell="A2" activePane="bottomLeft" state="frozen"/>
      <selection pane="bottomLeft" activeCell="M24" sqref="M24"/>
    </sheetView>
  </sheetViews>
  <sheetFormatPr defaultRowHeight="15.75" x14ac:dyDescent="0.25"/>
  <cols>
    <col min="1" max="1" width="6.5" customWidth="1"/>
    <col min="2" max="2" width="5.5" bestFit="1" customWidth="1"/>
    <col min="3" max="3" width="60.375" bestFit="1" customWidth="1"/>
    <col min="4" max="4" width="12.25" customWidth="1"/>
    <col min="5" max="5" width="8.625" bestFit="1" customWidth="1"/>
    <col min="6" max="6" width="15.75" bestFit="1" customWidth="1"/>
    <col min="7" max="7" width="25.75" bestFit="1" customWidth="1"/>
    <col min="8" max="8" width="14.375" bestFit="1" customWidth="1"/>
    <col min="9" max="9" width="2.125" customWidth="1"/>
    <col min="10" max="10" width="9.5" bestFit="1" customWidth="1"/>
    <col min="11" max="11" width="15.375" bestFit="1" customWidth="1"/>
    <col min="12" max="12" width="9.625" customWidth="1"/>
    <col min="13" max="13" width="25.75" bestFit="1" customWidth="1"/>
    <col min="14" max="14" width="21.25" bestFit="1" customWidth="1"/>
    <col min="15" max="15" width="21.5" bestFit="1" customWidth="1"/>
    <col min="16" max="16" width="10.375" customWidth="1"/>
    <col min="17" max="17" width="12" bestFit="1" customWidth="1"/>
    <col min="18" max="18" width="6.625" bestFit="1" customWidth="1"/>
  </cols>
  <sheetData>
    <row r="1" spans="1:18" s="3" customFormat="1" ht="31.5" x14ac:dyDescent="0.25">
      <c r="A1" s="3" t="s">
        <v>187</v>
      </c>
      <c r="B1" s="3" t="s">
        <v>33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J1" s="3" t="s">
        <v>35</v>
      </c>
      <c r="K1" s="3" t="s">
        <v>36</v>
      </c>
      <c r="L1" s="3" t="s">
        <v>37</v>
      </c>
      <c r="M1" s="3" t="s">
        <v>189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34</v>
      </c>
    </row>
    <row r="2" spans="1:18" x14ac:dyDescent="0.25">
      <c r="A2">
        <v>426</v>
      </c>
      <c r="B2" t="s">
        <v>0</v>
      </c>
      <c r="C2" t="s">
        <v>106</v>
      </c>
      <c r="D2" s="1">
        <v>42027</v>
      </c>
      <c r="E2" s="2" t="s">
        <v>32</v>
      </c>
      <c r="F2" t="s">
        <v>22</v>
      </c>
      <c r="G2" t="s">
        <v>28</v>
      </c>
      <c r="H2" t="s">
        <v>49</v>
      </c>
      <c r="M2" t="s">
        <v>188</v>
      </c>
      <c r="P2" s="1">
        <v>45789</v>
      </c>
      <c r="Q2">
        <v>1117716</v>
      </c>
    </row>
    <row r="3" spans="1:18" hidden="1" x14ac:dyDescent="0.25">
      <c r="A3">
        <v>726</v>
      </c>
      <c r="B3" t="s">
        <v>0</v>
      </c>
      <c r="C3" t="s">
        <v>105</v>
      </c>
      <c r="D3" s="1">
        <v>42685</v>
      </c>
      <c r="E3" t="s">
        <v>31</v>
      </c>
      <c r="F3" t="s">
        <v>2</v>
      </c>
      <c r="G3" t="s">
        <v>28</v>
      </c>
      <c r="H3" t="s">
        <v>49</v>
      </c>
      <c r="J3" t="s">
        <v>161</v>
      </c>
      <c r="K3" t="s">
        <v>162</v>
      </c>
      <c r="L3">
        <v>34256</v>
      </c>
      <c r="M3" t="s">
        <v>139</v>
      </c>
      <c r="N3" t="s">
        <v>163</v>
      </c>
      <c r="O3" t="s">
        <v>164</v>
      </c>
      <c r="P3" s="1">
        <v>45779</v>
      </c>
      <c r="Q3" s="4">
        <v>808500</v>
      </c>
      <c r="R3" t="s">
        <v>47</v>
      </c>
    </row>
    <row r="4" spans="1:18" x14ac:dyDescent="0.25">
      <c r="A4">
        <v>966</v>
      </c>
      <c r="B4" t="s">
        <v>8</v>
      </c>
      <c r="C4" t="s">
        <v>104</v>
      </c>
      <c r="D4" s="1">
        <v>43189</v>
      </c>
      <c r="E4" t="s">
        <v>30</v>
      </c>
      <c r="F4" t="s">
        <v>22</v>
      </c>
      <c r="G4" t="s">
        <v>3</v>
      </c>
      <c r="H4" t="s">
        <v>49</v>
      </c>
      <c r="M4" t="s">
        <v>190</v>
      </c>
      <c r="P4" s="1">
        <v>45789</v>
      </c>
      <c r="Q4">
        <v>1117716</v>
      </c>
    </row>
    <row r="5" spans="1:18" x14ac:dyDescent="0.25">
      <c r="A5">
        <v>967</v>
      </c>
      <c r="B5" t="s">
        <v>8</v>
      </c>
      <c r="C5" t="s">
        <v>103</v>
      </c>
      <c r="D5" s="1">
        <v>43195</v>
      </c>
      <c r="E5" t="s">
        <v>29</v>
      </c>
      <c r="F5" t="s">
        <v>2</v>
      </c>
      <c r="G5" t="s">
        <v>28</v>
      </c>
      <c r="H5" t="s">
        <v>49</v>
      </c>
      <c r="M5" t="s">
        <v>191</v>
      </c>
      <c r="P5" s="1">
        <v>45789</v>
      </c>
      <c r="Q5">
        <v>1117716</v>
      </c>
    </row>
    <row r="6" spans="1:18" hidden="1" x14ac:dyDescent="0.25">
      <c r="A6">
        <v>986</v>
      </c>
      <c r="B6" t="s">
        <v>8</v>
      </c>
      <c r="C6" t="s">
        <v>102</v>
      </c>
      <c r="D6" s="1">
        <v>43286</v>
      </c>
      <c r="E6" t="s">
        <v>27</v>
      </c>
      <c r="F6" t="s">
        <v>2</v>
      </c>
      <c r="G6" t="s">
        <v>28</v>
      </c>
      <c r="H6" t="s">
        <v>49</v>
      </c>
      <c r="J6" t="s">
        <v>157</v>
      </c>
      <c r="K6" t="s">
        <v>158</v>
      </c>
      <c r="L6">
        <v>6282</v>
      </c>
      <c r="M6" t="s">
        <v>154</v>
      </c>
      <c r="N6" t="s">
        <v>159</v>
      </c>
      <c r="O6" t="s">
        <v>160</v>
      </c>
      <c r="P6" s="1">
        <v>46098</v>
      </c>
      <c r="Q6" s="4">
        <v>558858</v>
      </c>
      <c r="R6" t="s">
        <v>47</v>
      </c>
    </row>
    <row r="7" spans="1:18" x14ac:dyDescent="0.25">
      <c r="A7">
        <v>1319</v>
      </c>
      <c r="B7" t="s">
        <v>8</v>
      </c>
      <c r="C7" t="s">
        <v>101</v>
      </c>
      <c r="D7" s="1">
        <v>43916</v>
      </c>
      <c r="E7" t="s">
        <v>26</v>
      </c>
      <c r="F7" t="s">
        <v>22</v>
      </c>
      <c r="G7" t="s">
        <v>3</v>
      </c>
      <c r="H7" t="s">
        <v>49</v>
      </c>
      <c r="M7" t="s">
        <v>192</v>
      </c>
      <c r="P7" s="1">
        <v>45789</v>
      </c>
      <c r="Q7">
        <v>1117716</v>
      </c>
    </row>
    <row r="8" spans="1:18" x14ac:dyDescent="0.25">
      <c r="A8">
        <v>1372</v>
      </c>
      <c r="B8" t="s">
        <v>8</v>
      </c>
      <c r="C8" t="s">
        <v>100</v>
      </c>
      <c r="D8" s="1">
        <v>44000</v>
      </c>
      <c r="E8" t="s">
        <v>25</v>
      </c>
      <c r="F8" t="s">
        <v>22</v>
      </c>
      <c r="G8" t="s">
        <v>3</v>
      </c>
      <c r="H8" t="s">
        <v>49</v>
      </c>
      <c r="M8" t="s">
        <v>191</v>
      </c>
      <c r="P8" s="1">
        <v>45789</v>
      </c>
      <c r="Q8">
        <v>1117716</v>
      </c>
    </row>
    <row r="9" spans="1:18" x14ac:dyDescent="0.25">
      <c r="A9">
        <v>1373</v>
      </c>
      <c r="B9" t="s">
        <v>8</v>
      </c>
      <c r="C9" t="s">
        <v>99</v>
      </c>
      <c r="D9" s="1">
        <v>44000</v>
      </c>
      <c r="E9" t="s">
        <v>25</v>
      </c>
      <c r="F9" t="s">
        <v>22</v>
      </c>
      <c r="G9" t="s">
        <v>3</v>
      </c>
      <c r="H9" t="s">
        <v>49</v>
      </c>
      <c r="M9" t="s">
        <v>193</v>
      </c>
      <c r="P9" s="1">
        <v>45789</v>
      </c>
      <c r="Q9">
        <v>1117716</v>
      </c>
    </row>
    <row r="10" spans="1:18" x14ac:dyDescent="0.25">
      <c r="A10">
        <v>1398</v>
      </c>
      <c r="B10" t="s">
        <v>4</v>
      </c>
      <c r="C10" t="s">
        <v>85</v>
      </c>
      <c r="D10" s="1">
        <v>44025</v>
      </c>
      <c r="E10" t="s">
        <v>24</v>
      </c>
      <c r="F10" t="s">
        <v>22</v>
      </c>
      <c r="G10" t="s">
        <v>3</v>
      </c>
      <c r="H10" t="s">
        <v>49</v>
      </c>
      <c r="M10" t="s">
        <v>192</v>
      </c>
      <c r="P10" s="1">
        <v>45789</v>
      </c>
      <c r="Q10">
        <v>1117716</v>
      </c>
    </row>
    <row r="11" spans="1:18" x14ac:dyDescent="0.25">
      <c r="A11">
        <v>1402</v>
      </c>
      <c r="B11" t="s">
        <v>4</v>
      </c>
      <c r="C11" t="s">
        <v>53</v>
      </c>
      <c r="D11" s="1">
        <v>44025</v>
      </c>
      <c r="E11" t="s">
        <v>23</v>
      </c>
      <c r="F11" t="s">
        <v>22</v>
      </c>
      <c r="G11" t="s">
        <v>3</v>
      </c>
      <c r="H11" t="s">
        <v>49</v>
      </c>
      <c r="M11" t="s">
        <v>192</v>
      </c>
      <c r="P11" s="1">
        <v>45789</v>
      </c>
      <c r="Q11">
        <v>1117716</v>
      </c>
    </row>
    <row r="12" spans="1:18" x14ac:dyDescent="0.25">
      <c r="A12">
        <v>1441</v>
      </c>
      <c r="B12" t="s">
        <v>8</v>
      </c>
      <c r="C12" t="s">
        <v>53</v>
      </c>
      <c r="D12" s="1">
        <v>44104</v>
      </c>
      <c r="E12" t="s">
        <v>98</v>
      </c>
      <c r="F12" t="s">
        <v>22</v>
      </c>
      <c r="G12" t="s">
        <v>3</v>
      </c>
      <c r="H12" t="s">
        <v>49</v>
      </c>
      <c r="M12" t="s">
        <v>191</v>
      </c>
      <c r="P12" s="1">
        <v>45789</v>
      </c>
      <c r="Q12">
        <v>1117716</v>
      </c>
    </row>
    <row r="13" spans="1:18" hidden="1" x14ac:dyDescent="0.25">
      <c r="A13" s="8">
        <v>1575</v>
      </c>
      <c r="B13" s="8" t="s">
        <v>8</v>
      </c>
      <c r="C13" s="8" t="s">
        <v>96</v>
      </c>
      <c r="D13" s="9">
        <v>44280</v>
      </c>
      <c r="E13" s="8" t="s">
        <v>97</v>
      </c>
      <c r="F13" s="8" t="s">
        <v>2</v>
      </c>
      <c r="G13" s="8" t="s">
        <v>28</v>
      </c>
      <c r="H13" s="8" t="s">
        <v>49</v>
      </c>
      <c r="I13" s="8"/>
      <c r="J13" s="8" t="s">
        <v>152</v>
      </c>
      <c r="K13" s="8" t="s">
        <v>153</v>
      </c>
      <c r="L13" s="8">
        <v>6282</v>
      </c>
      <c r="M13" s="8" t="s">
        <v>154</v>
      </c>
      <c r="N13" s="8" t="s">
        <v>155</v>
      </c>
      <c r="O13" s="8" t="s">
        <v>156</v>
      </c>
      <c r="P13" s="9">
        <v>45891</v>
      </c>
      <c r="Q13" s="8">
        <v>669.99</v>
      </c>
      <c r="R13" s="8" t="s">
        <v>47</v>
      </c>
    </row>
    <row r="14" spans="1:18" hidden="1" x14ac:dyDescent="0.25">
      <c r="A14" s="8">
        <v>1575</v>
      </c>
      <c r="B14" s="8" t="s">
        <v>8</v>
      </c>
      <c r="C14" s="8" t="s">
        <v>96</v>
      </c>
      <c r="D14" s="9">
        <v>44280</v>
      </c>
      <c r="E14" s="8" t="s">
        <v>97</v>
      </c>
      <c r="F14" s="8" t="s">
        <v>2</v>
      </c>
      <c r="G14" s="8" t="s">
        <v>28</v>
      </c>
      <c r="H14" s="8" t="s">
        <v>49</v>
      </c>
      <c r="I14" s="8"/>
      <c r="J14" s="8" t="s">
        <v>152</v>
      </c>
      <c r="K14" s="8" t="s">
        <v>183</v>
      </c>
      <c r="L14" s="8">
        <v>6282</v>
      </c>
      <c r="M14" s="8" t="s">
        <v>154</v>
      </c>
      <c r="N14" s="8" t="s">
        <v>155</v>
      </c>
      <c r="O14" s="8" t="s">
        <v>184</v>
      </c>
      <c r="P14" s="9">
        <v>45889</v>
      </c>
      <c r="Q14" s="8">
        <v>30.53</v>
      </c>
      <c r="R14" s="8" t="s">
        <v>47</v>
      </c>
    </row>
    <row r="15" spans="1:18" hidden="1" x14ac:dyDescent="0.25">
      <c r="A15" s="8">
        <v>1575</v>
      </c>
      <c r="B15" s="8" t="s">
        <v>8</v>
      </c>
      <c r="C15" s="8" t="s">
        <v>96</v>
      </c>
      <c r="D15" s="9">
        <v>44280</v>
      </c>
      <c r="E15" s="8" t="s">
        <v>97</v>
      </c>
      <c r="F15" s="8" t="s">
        <v>2</v>
      </c>
      <c r="G15" s="8" t="s">
        <v>28</v>
      </c>
      <c r="H15" s="8" t="s">
        <v>49</v>
      </c>
      <c r="I15" s="8"/>
      <c r="J15" s="8" t="s">
        <v>152</v>
      </c>
      <c r="K15" s="8" t="s">
        <v>185</v>
      </c>
      <c r="L15" s="8">
        <v>6282</v>
      </c>
      <c r="M15" s="8" t="s">
        <v>154</v>
      </c>
      <c r="N15" s="8" t="s">
        <v>155</v>
      </c>
      <c r="O15" s="8" t="s">
        <v>186</v>
      </c>
      <c r="P15" s="9">
        <v>46050</v>
      </c>
      <c r="Q15" s="12">
        <v>37607.480000000003</v>
      </c>
      <c r="R15" s="8" t="s">
        <v>47</v>
      </c>
    </row>
    <row r="16" spans="1:18" s="5" customFormat="1" x14ac:dyDescent="0.25">
      <c r="A16">
        <v>1585</v>
      </c>
      <c r="B16" t="s">
        <v>4</v>
      </c>
      <c r="C16" t="s">
        <v>94</v>
      </c>
      <c r="D16" s="1">
        <v>44287</v>
      </c>
      <c r="E16" t="s">
        <v>95</v>
      </c>
      <c r="F16" t="s">
        <v>22</v>
      </c>
      <c r="G16" t="s">
        <v>3</v>
      </c>
      <c r="H16" t="s">
        <v>49</v>
      </c>
      <c r="I16"/>
      <c r="J16"/>
      <c r="K16"/>
      <c r="L16"/>
      <c r="M16" t="s">
        <v>194</v>
      </c>
      <c r="N16"/>
      <c r="O16"/>
      <c r="P16" s="1">
        <v>45789</v>
      </c>
      <c r="Q16">
        <v>1117716</v>
      </c>
      <c r="R16"/>
    </row>
    <row r="17" spans="1:18" s="5" customFormat="1" x14ac:dyDescent="0.25">
      <c r="A17">
        <v>1611</v>
      </c>
      <c r="B17" t="s">
        <v>91</v>
      </c>
      <c r="C17" t="s">
        <v>92</v>
      </c>
      <c r="D17" s="1">
        <v>44322</v>
      </c>
      <c r="E17" t="s">
        <v>93</v>
      </c>
      <c r="F17" t="s">
        <v>22</v>
      </c>
      <c r="G17" t="s">
        <v>3</v>
      </c>
      <c r="H17" t="s">
        <v>49</v>
      </c>
      <c r="I17"/>
      <c r="J17"/>
      <c r="K17"/>
      <c r="L17"/>
      <c r="M17" t="s">
        <v>191</v>
      </c>
      <c r="N17"/>
      <c r="O17"/>
      <c r="P17" s="1">
        <v>45789</v>
      </c>
      <c r="Q17">
        <v>1117716</v>
      </c>
      <c r="R17"/>
    </row>
    <row r="18" spans="1:18" s="5" customFormat="1" x14ac:dyDescent="0.25">
      <c r="A18">
        <v>1738</v>
      </c>
      <c r="B18" t="s">
        <v>8</v>
      </c>
      <c r="C18" t="s">
        <v>90</v>
      </c>
      <c r="D18" s="1">
        <v>44546</v>
      </c>
      <c r="E18" t="s">
        <v>88</v>
      </c>
      <c r="F18" t="s">
        <v>22</v>
      </c>
      <c r="G18" t="s">
        <v>3</v>
      </c>
      <c r="H18" t="s">
        <v>49</v>
      </c>
      <c r="I18"/>
      <c r="J18"/>
      <c r="K18"/>
      <c r="L18"/>
      <c r="M18" t="s">
        <v>193</v>
      </c>
      <c r="N18"/>
      <c r="O18"/>
      <c r="P18" s="1">
        <v>45789</v>
      </c>
      <c r="Q18">
        <v>1117716</v>
      </c>
      <c r="R18"/>
    </row>
    <row r="19" spans="1:18" x14ac:dyDescent="0.25">
      <c r="A19">
        <v>1742</v>
      </c>
      <c r="B19" t="s">
        <v>8</v>
      </c>
      <c r="C19" t="s">
        <v>89</v>
      </c>
      <c r="D19" s="1">
        <v>44546</v>
      </c>
      <c r="E19" t="s">
        <v>88</v>
      </c>
      <c r="F19" t="s">
        <v>22</v>
      </c>
      <c r="G19" t="s">
        <v>3</v>
      </c>
      <c r="H19" t="s">
        <v>49</v>
      </c>
      <c r="M19" t="s">
        <v>190</v>
      </c>
      <c r="P19" s="1">
        <v>45789</v>
      </c>
      <c r="Q19">
        <v>1117716</v>
      </c>
    </row>
    <row r="20" spans="1:18" x14ac:dyDescent="0.25">
      <c r="A20">
        <v>1743</v>
      </c>
      <c r="B20" t="s">
        <v>8</v>
      </c>
      <c r="C20" t="s">
        <v>87</v>
      </c>
      <c r="D20" s="1">
        <v>44546</v>
      </c>
      <c r="E20" t="s">
        <v>88</v>
      </c>
      <c r="F20" t="s">
        <v>22</v>
      </c>
      <c r="G20" t="s">
        <v>3</v>
      </c>
      <c r="H20" t="s">
        <v>49</v>
      </c>
      <c r="M20" t="s">
        <v>193</v>
      </c>
      <c r="P20" s="1">
        <v>45789</v>
      </c>
      <c r="Q20">
        <v>1117716</v>
      </c>
    </row>
    <row r="21" spans="1:18" x14ac:dyDescent="0.25">
      <c r="A21">
        <v>1786</v>
      </c>
      <c r="B21" t="s">
        <v>4</v>
      </c>
      <c r="C21" t="s">
        <v>85</v>
      </c>
      <c r="D21" s="1">
        <v>44623</v>
      </c>
      <c r="E21" t="s">
        <v>86</v>
      </c>
      <c r="G21" t="s">
        <v>3</v>
      </c>
      <c r="H21" t="s">
        <v>49</v>
      </c>
      <c r="M21" t="s">
        <v>195</v>
      </c>
      <c r="P21" s="1">
        <v>45789</v>
      </c>
      <c r="Q21">
        <v>1117716</v>
      </c>
    </row>
    <row r="22" spans="1:18" s="8" customFormat="1" x14ac:dyDescent="0.25">
      <c r="A22">
        <v>1830</v>
      </c>
      <c r="B22" t="s">
        <v>8</v>
      </c>
      <c r="C22" t="s">
        <v>83</v>
      </c>
      <c r="D22" s="1">
        <v>44714</v>
      </c>
      <c r="E22" t="s">
        <v>84</v>
      </c>
      <c r="F22" t="s">
        <v>63</v>
      </c>
      <c r="G22" t="s">
        <v>3</v>
      </c>
      <c r="H22" t="s">
        <v>49</v>
      </c>
      <c r="I22"/>
      <c r="J22"/>
      <c r="K22"/>
      <c r="L22"/>
      <c r="M22" t="s">
        <v>191</v>
      </c>
      <c r="N22"/>
      <c r="O22"/>
      <c r="P22" s="1">
        <v>45789</v>
      </c>
      <c r="Q22">
        <v>1117716</v>
      </c>
      <c r="R22"/>
    </row>
    <row r="23" spans="1:18" s="8" customFormat="1" x14ac:dyDescent="0.25">
      <c r="A23">
        <v>1883</v>
      </c>
      <c r="B23" t="s">
        <v>8</v>
      </c>
      <c r="C23" t="s">
        <v>53</v>
      </c>
      <c r="D23" s="1">
        <v>44847</v>
      </c>
      <c r="E23" t="s">
        <v>82</v>
      </c>
      <c r="F23" t="s">
        <v>7</v>
      </c>
      <c r="G23"/>
      <c r="H23" t="s">
        <v>49</v>
      </c>
      <c r="I23"/>
      <c r="J23"/>
      <c r="K23"/>
      <c r="L23"/>
      <c r="M23" t="s">
        <v>194</v>
      </c>
      <c r="N23"/>
      <c r="O23"/>
      <c r="P23" s="1">
        <v>45789</v>
      </c>
      <c r="Q23">
        <v>1117716</v>
      </c>
      <c r="R23"/>
    </row>
    <row r="24" spans="1:18" s="8" customFormat="1" x14ac:dyDescent="0.25">
      <c r="A24">
        <v>1892</v>
      </c>
      <c r="B24" t="s">
        <v>66</v>
      </c>
      <c r="C24" t="s">
        <v>80</v>
      </c>
      <c r="D24" s="1">
        <v>44854</v>
      </c>
      <c r="E24" t="s">
        <v>81</v>
      </c>
      <c r="F24" t="s">
        <v>7</v>
      </c>
      <c r="G24" t="s">
        <v>3</v>
      </c>
      <c r="H24" t="s">
        <v>49</v>
      </c>
      <c r="I24"/>
      <c r="J24"/>
      <c r="K24"/>
      <c r="L24"/>
      <c r="M24" t="s">
        <v>191</v>
      </c>
      <c r="N24"/>
      <c r="O24"/>
      <c r="P24" s="1">
        <v>45789</v>
      </c>
      <c r="Q24">
        <v>1117716</v>
      </c>
      <c r="R24"/>
    </row>
    <row r="25" spans="1:18" s="8" customFormat="1" hidden="1" x14ac:dyDescent="0.25">
      <c r="A25" s="8">
        <v>1912</v>
      </c>
      <c r="B25" s="8" t="s">
        <v>21</v>
      </c>
      <c r="C25" s="8" t="s">
        <v>78</v>
      </c>
      <c r="D25" s="9">
        <v>44904</v>
      </c>
      <c r="E25" s="8" t="s">
        <v>79</v>
      </c>
      <c r="F25" s="8" t="s">
        <v>2</v>
      </c>
      <c r="G25" s="8" t="s">
        <v>28</v>
      </c>
      <c r="H25" s="8" t="s">
        <v>49</v>
      </c>
      <c r="J25" s="8" t="s">
        <v>147</v>
      </c>
      <c r="K25" s="8" t="s">
        <v>148</v>
      </c>
      <c r="L25" s="8">
        <v>1255</v>
      </c>
      <c r="M25" s="8" t="s">
        <v>149</v>
      </c>
      <c r="N25" s="8" t="s">
        <v>150</v>
      </c>
      <c r="O25" s="8" t="s">
        <v>151</v>
      </c>
      <c r="P25" s="9">
        <v>46022</v>
      </c>
      <c r="Q25" s="12">
        <v>7828.94</v>
      </c>
      <c r="R25" s="8" t="s">
        <v>47</v>
      </c>
    </row>
    <row r="26" spans="1:18" s="8" customFormat="1" hidden="1" x14ac:dyDescent="0.25">
      <c r="A26" s="8">
        <v>1912</v>
      </c>
      <c r="B26" s="8" t="s">
        <v>21</v>
      </c>
      <c r="C26" s="8" t="s">
        <v>78</v>
      </c>
      <c r="D26" s="9">
        <v>44904</v>
      </c>
      <c r="E26" s="8" t="s">
        <v>79</v>
      </c>
      <c r="F26" s="8" t="s">
        <v>2</v>
      </c>
      <c r="G26" s="8" t="s">
        <v>28</v>
      </c>
      <c r="H26" s="8" t="s">
        <v>49</v>
      </c>
      <c r="J26" s="8" t="s">
        <v>147</v>
      </c>
      <c r="K26" s="8" t="s">
        <v>169</v>
      </c>
      <c r="L26" s="8">
        <v>1255</v>
      </c>
      <c r="M26" s="8" t="s">
        <v>149</v>
      </c>
      <c r="N26" s="8" t="s">
        <v>150</v>
      </c>
      <c r="O26" s="8" t="s">
        <v>170</v>
      </c>
      <c r="P26" s="9">
        <v>45846</v>
      </c>
      <c r="Q26" s="10">
        <v>25000</v>
      </c>
      <c r="R26" s="8" t="s">
        <v>47</v>
      </c>
    </row>
    <row r="27" spans="1:18" s="8" customFormat="1" hidden="1" x14ac:dyDescent="0.25">
      <c r="A27" s="8">
        <v>1912</v>
      </c>
      <c r="B27" s="8" t="s">
        <v>21</v>
      </c>
      <c r="C27" s="8" t="s">
        <v>78</v>
      </c>
      <c r="D27" s="9">
        <v>44904</v>
      </c>
      <c r="E27" s="8" t="s">
        <v>79</v>
      </c>
      <c r="F27" s="8" t="s">
        <v>2</v>
      </c>
      <c r="G27" s="8" t="s">
        <v>28</v>
      </c>
      <c r="H27" s="8" t="s">
        <v>49</v>
      </c>
      <c r="J27" s="8" t="s">
        <v>147</v>
      </c>
      <c r="K27" s="8" t="s">
        <v>171</v>
      </c>
      <c r="L27" s="8">
        <v>1255</v>
      </c>
      <c r="M27" s="8" t="s">
        <v>149</v>
      </c>
      <c r="N27" s="8" t="s">
        <v>150</v>
      </c>
      <c r="O27" s="8" t="s">
        <v>172</v>
      </c>
      <c r="P27" s="9">
        <v>45882</v>
      </c>
      <c r="Q27" s="10">
        <v>6713.63</v>
      </c>
      <c r="R27" s="8" t="s">
        <v>47</v>
      </c>
    </row>
    <row r="28" spans="1:18" s="8" customFormat="1" hidden="1" x14ac:dyDescent="0.25">
      <c r="A28" s="8">
        <v>1912</v>
      </c>
      <c r="B28" s="8" t="s">
        <v>21</v>
      </c>
      <c r="C28" s="8" t="s">
        <v>78</v>
      </c>
      <c r="D28" s="9">
        <v>44904</v>
      </c>
      <c r="E28" s="8" t="s">
        <v>79</v>
      </c>
      <c r="F28" s="8" t="s">
        <v>2</v>
      </c>
      <c r="G28" s="8" t="s">
        <v>28</v>
      </c>
      <c r="H28" s="8" t="s">
        <v>49</v>
      </c>
      <c r="J28" s="8" t="s">
        <v>147</v>
      </c>
      <c r="K28" s="8" t="s">
        <v>173</v>
      </c>
      <c r="L28" s="8">
        <v>1255</v>
      </c>
      <c r="M28" s="8" t="s">
        <v>149</v>
      </c>
      <c r="N28" s="8" t="s">
        <v>150</v>
      </c>
      <c r="O28" s="8" t="s">
        <v>174</v>
      </c>
      <c r="P28" s="9">
        <v>45924</v>
      </c>
      <c r="Q28" s="10">
        <v>7071.37</v>
      </c>
      <c r="R28" s="8" t="s">
        <v>47</v>
      </c>
    </row>
    <row r="29" spans="1:18" s="8" customFormat="1" hidden="1" x14ac:dyDescent="0.25">
      <c r="A29" s="8">
        <v>1912</v>
      </c>
      <c r="B29" s="8" t="s">
        <v>21</v>
      </c>
      <c r="C29" s="8" t="s">
        <v>78</v>
      </c>
      <c r="D29" s="9">
        <v>44904</v>
      </c>
      <c r="E29" s="8" t="s">
        <v>79</v>
      </c>
      <c r="F29" s="8" t="s">
        <v>2</v>
      </c>
      <c r="G29" s="8" t="s">
        <v>28</v>
      </c>
      <c r="H29" s="8" t="s">
        <v>49</v>
      </c>
      <c r="J29" s="8" t="s">
        <v>147</v>
      </c>
      <c r="K29" s="8" t="s">
        <v>175</v>
      </c>
      <c r="L29" s="8">
        <v>1255</v>
      </c>
      <c r="M29" s="8" t="s">
        <v>149</v>
      </c>
      <c r="N29" s="8" t="s">
        <v>150</v>
      </c>
      <c r="O29" s="8" t="s">
        <v>176</v>
      </c>
      <c r="P29" s="9">
        <v>46051</v>
      </c>
      <c r="Q29" s="10">
        <v>8029.93</v>
      </c>
      <c r="R29" s="8" t="s">
        <v>47</v>
      </c>
    </row>
    <row r="30" spans="1:18" hidden="1" x14ac:dyDescent="0.25">
      <c r="A30" s="8">
        <v>1912</v>
      </c>
      <c r="B30" s="8" t="s">
        <v>21</v>
      </c>
      <c r="C30" s="8" t="s">
        <v>78</v>
      </c>
      <c r="D30" s="9">
        <v>44904</v>
      </c>
      <c r="E30" s="8" t="s">
        <v>79</v>
      </c>
      <c r="F30" s="8" t="s">
        <v>2</v>
      </c>
      <c r="G30" s="8" t="s">
        <v>28</v>
      </c>
      <c r="H30" s="8" t="s">
        <v>49</v>
      </c>
      <c r="I30" s="8"/>
      <c r="J30" s="8" t="s">
        <v>147</v>
      </c>
      <c r="K30" s="8" t="s">
        <v>177</v>
      </c>
      <c r="L30" s="8">
        <v>1255</v>
      </c>
      <c r="M30" s="8" t="s">
        <v>149</v>
      </c>
      <c r="N30" s="8" t="s">
        <v>150</v>
      </c>
      <c r="O30" s="8" t="s">
        <v>178</v>
      </c>
      <c r="P30" s="9">
        <v>45961</v>
      </c>
      <c r="Q30" s="10">
        <v>7386.98</v>
      </c>
      <c r="R30" s="8" t="s">
        <v>47</v>
      </c>
    </row>
    <row r="31" spans="1:18" hidden="1" x14ac:dyDescent="0.25">
      <c r="A31" s="8">
        <v>1912</v>
      </c>
      <c r="B31" s="8" t="s">
        <v>21</v>
      </c>
      <c r="C31" s="8" t="s">
        <v>78</v>
      </c>
      <c r="D31" s="9">
        <v>44904</v>
      </c>
      <c r="E31" s="8" t="s">
        <v>79</v>
      </c>
      <c r="F31" s="8" t="s">
        <v>2</v>
      </c>
      <c r="G31" s="8" t="s">
        <v>28</v>
      </c>
      <c r="H31" s="8" t="s">
        <v>49</v>
      </c>
      <c r="I31" s="8"/>
      <c r="J31" s="8" t="s">
        <v>147</v>
      </c>
      <c r="K31" s="8" t="s">
        <v>179</v>
      </c>
      <c r="L31" s="8">
        <v>1255</v>
      </c>
      <c r="M31" s="8" t="s">
        <v>149</v>
      </c>
      <c r="N31" s="8" t="s">
        <v>150</v>
      </c>
      <c r="O31" s="8" t="s">
        <v>180</v>
      </c>
      <c r="P31" s="9">
        <v>45992</v>
      </c>
      <c r="Q31" s="10">
        <v>7621.02</v>
      </c>
      <c r="R31" s="8" t="s">
        <v>47</v>
      </c>
    </row>
    <row r="32" spans="1:18" hidden="1" x14ac:dyDescent="0.25">
      <c r="A32" s="8">
        <v>1912</v>
      </c>
      <c r="B32" s="8" t="s">
        <v>21</v>
      </c>
      <c r="C32" s="8" t="s">
        <v>78</v>
      </c>
      <c r="D32" s="9">
        <v>44904</v>
      </c>
      <c r="E32" s="8" t="s">
        <v>79</v>
      </c>
      <c r="F32" s="8" t="s">
        <v>2</v>
      </c>
      <c r="G32" s="8" t="s">
        <v>28</v>
      </c>
      <c r="H32" s="8" t="s">
        <v>49</v>
      </c>
      <c r="I32" s="8"/>
      <c r="J32" s="8" t="s">
        <v>147</v>
      </c>
      <c r="K32" s="8" t="s">
        <v>181</v>
      </c>
      <c r="L32" s="8">
        <v>1255</v>
      </c>
      <c r="M32" s="8" t="s">
        <v>149</v>
      </c>
      <c r="N32" s="8" t="s">
        <v>150</v>
      </c>
      <c r="O32" s="8" t="s">
        <v>182</v>
      </c>
      <c r="P32" s="9">
        <v>46083</v>
      </c>
      <c r="Q32" s="10">
        <v>8251.7099999999991</v>
      </c>
      <c r="R32" s="8" t="s">
        <v>47</v>
      </c>
    </row>
    <row r="33" spans="1:18" hidden="1" x14ac:dyDescent="0.25">
      <c r="A33">
        <v>2086</v>
      </c>
      <c r="B33" t="s">
        <v>8</v>
      </c>
      <c r="C33" t="s">
        <v>76</v>
      </c>
      <c r="D33" s="1">
        <v>45217</v>
      </c>
      <c r="E33" t="s">
        <v>77</v>
      </c>
      <c r="F33" t="s">
        <v>2</v>
      </c>
      <c r="G33" t="s">
        <v>13</v>
      </c>
      <c r="H33" t="s">
        <v>49</v>
      </c>
      <c r="J33" t="s">
        <v>142</v>
      </c>
      <c r="K33" t="s">
        <v>143</v>
      </c>
      <c r="L33">
        <v>21290</v>
      </c>
      <c r="M33" t="s">
        <v>144</v>
      </c>
      <c r="N33" t="s">
        <v>145</v>
      </c>
      <c r="O33" t="s">
        <v>146</v>
      </c>
      <c r="P33" s="1">
        <v>45917</v>
      </c>
      <c r="Q33" s="4">
        <v>46958</v>
      </c>
      <c r="R33" t="s">
        <v>47</v>
      </c>
    </row>
    <row r="34" spans="1:18" x14ac:dyDescent="0.25">
      <c r="A34">
        <v>2243</v>
      </c>
      <c r="B34" t="s">
        <v>0</v>
      </c>
      <c r="C34" t="s">
        <v>74</v>
      </c>
      <c r="D34" s="1">
        <v>45492</v>
      </c>
      <c r="E34" t="s">
        <v>75</v>
      </c>
      <c r="F34" t="s">
        <v>7</v>
      </c>
      <c r="G34" t="s">
        <v>3</v>
      </c>
      <c r="H34" t="s">
        <v>49</v>
      </c>
      <c r="M34" t="s">
        <v>193</v>
      </c>
      <c r="P34" s="1">
        <f>+P30+10</f>
        <v>45971</v>
      </c>
      <c r="Q34">
        <v>1117716</v>
      </c>
    </row>
    <row r="35" spans="1:18" x14ac:dyDescent="0.25">
      <c r="A35">
        <v>2397</v>
      </c>
      <c r="B35" t="s">
        <v>66</v>
      </c>
      <c r="C35" t="s">
        <v>72</v>
      </c>
      <c r="D35" s="1">
        <v>45624</v>
      </c>
      <c r="E35" t="s">
        <v>73</v>
      </c>
      <c r="F35" t="s">
        <v>7</v>
      </c>
      <c r="G35" t="s">
        <v>3</v>
      </c>
      <c r="H35" t="s">
        <v>49</v>
      </c>
      <c r="M35" t="s">
        <v>192</v>
      </c>
      <c r="P35" s="1">
        <f>+P31+10</f>
        <v>46002</v>
      </c>
      <c r="Q35">
        <v>1117716</v>
      </c>
    </row>
    <row r="36" spans="1:18" hidden="1" x14ac:dyDescent="0.25">
      <c r="A36" s="5">
        <v>2428</v>
      </c>
      <c r="B36" s="5" t="s">
        <v>8</v>
      </c>
      <c r="C36" s="5" t="s">
        <v>70</v>
      </c>
      <c r="D36" s="6">
        <v>45652</v>
      </c>
      <c r="E36" s="5" t="s">
        <v>71</v>
      </c>
      <c r="F36" s="5" t="s">
        <v>2</v>
      </c>
      <c r="G36" s="5" t="s">
        <v>13</v>
      </c>
      <c r="H36" s="5" t="s">
        <v>49</v>
      </c>
      <c r="I36" s="5"/>
      <c r="J36" s="5" t="s">
        <v>137</v>
      </c>
      <c r="K36" s="5" t="s">
        <v>138</v>
      </c>
      <c r="L36" s="5">
        <v>34256</v>
      </c>
      <c r="M36" s="5" t="s">
        <v>139</v>
      </c>
      <c r="N36" s="5" t="s">
        <v>140</v>
      </c>
      <c r="O36" s="5" t="s">
        <v>141</v>
      </c>
      <c r="P36" s="6">
        <v>46085</v>
      </c>
      <c r="Q36" s="7">
        <v>250000</v>
      </c>
      <c r="R36" s="5" t="s">
        <v>47</v>
      </c>
    </row>
    <row r="37" spans="1:18" hidden="1" x14ac:dyDescent="0.25">
      <c r="A37" s="5">
        <v>2428</v>
      </c>
      <c r="B37" s="5" t="s">
        <v>8</v>
      </c>
      <c r="C37" s="5" t="s">
        <v>70</v>
      </c>
      <c r="D37" s="6">
        <v>45652</v>
      </c>
      <c r="E37" s="5" t="s">
        <v>71</v>
      </c>
      <c r="F37" s="5" t="s">
        <v>2</v>
      </c>
      <c r="G37" s="5" t="s">
        <v>13</v>
      </c>
      <c r="H37" s="5" t="s">
        <v>49</v>
      </c>
      <c r="I37" s="5"/>
      <c r="J37" s="5" t="s">
        <v>137</v>
      </c>
      <c r="K37" s="5" t="s">
        <v>165</v>
      </c>
      <c r="L37" s="5">
        <v>34256</v>
      </c>
      <c r="M37" s="5" t="s">
        <v>139</v>
      </c>
      <c r="N37" s="5" t="s">
        <v>140</v>
      </c>
      <c r="O37" s="5" t="s">
        <v>166</v>
      </c>
      <c r="P37" s="6">
        <v>46085</v>
      </c>
      <c r="Q37" s="7">
        <v>100000</v>
      </c>
      <c r="R37" s="5" t="s">
        <v>47</v>
      </c>
    </row>
    <row r="38" spans="1:18" hidden="1" x14ac:dyDescent="0.25">
      <c r="A38" s="5">
        <v>2428</v>
      </c>
      <c r="B38" s="5" t="s">
        <v>8</v>
      </c>
      <c r="C38" s="5" t="s">
        <v>70</v>
      </c>
      <c r="D38" s="6">
        <v>45652</v>
      </c>
      <c r="E38" s="5" t="s">
        <v>71</v>
      </c>
      <c r="F38" s="5" t="s">
        <v>2</v>
      </c>
      <c r="G38" s="5" t="s">
        <v>13</v>
      </c>
      <c r="H38" s="5" t="s">
        <v>49</v>
      </c>
      <c r="I38" s="5"/>
      <c r="J38" s="5" t="s">
        <v>137</v>
      </c>
      <c r="K38" s="5" t="s">
        <v>167</v>
      </c>
      <c r="L38" s="5">
        <v>34256</v>
      </c>
      <c r="M38" s="5" t="s">
        <v>139</v>
      </c>
      <c r="N38" s="5" t="s">
        <v>140</v>
      </c>
      <c r="O38" s="5" t="s">
        <v>168</v>
      </c>
      <c r="P38" s="6">
        <v>46085</v>
      </c>
      <c r="Q38" s="7">
        <v>722451.02</v>
      </c>
      <c r="R38" s="5" t="s">
        <v>47</v>
      </c>
    </row>
    <row r="39" spans="1:18" s="8" customFormat="1" hidden="1" x14ac:dyDescent="0.25">
      <c r="A39">
        <v>2465</v>
      </c>
      <c r="B39" t="s">
        <v>8</v>
      </c>
      <c r="C39" t="s">
        <v>68</v>
      </c>
      <c r="D39" s="1">
        <v>45673</v>
      </c>
      <c r="E39" t="s">
        <v>69</v>
      </c>
      <c r="F39" t="s">
        <v>2</v>
      </c>
      <c r="G39" t="s">
        <v>28</v>
      </c>
      <c r="H39" t="s">
        <v>49</v>
      </c>
      <c r="I39"/>
      <c r="J39" t="s">
        <v>132</v>
      </c>
      <c r="K39" t="s">
        <v>133</v>
      </c>
      <c r="L39">
        <v>16260</v>
      </c>
      <c r="M39" t="s">
        <v>134</v>
      </c>
      <c r="N39" t="s">
        <v>135</v>
      </c>
      <c r="O39" t="s">
        <v>136</v>
      </c>
      <c r="P39" s="1">
        <v>46071</v>
      </c>
      <c r="Q39" s="4">
        <v>3892770</v>
      </c>
      <c r="R39" t="s">
        <v>47</v>
      </c>
    </row>
    <row r="40" spans="1:18" s="8" customFormat="1" x14ac:dyDescent="0.25">
      <c r="A40">
        <v>2614</v>
      </c>
      <c r="B40" t="s">
        <v>66</v>
      </c>
      <c r="C40" t="s">
        <v>14</v>
      </c>
      <c r="D40" s="1">
        <v>45869</v>
      </c>
      <c r="E40" t="s">
        <v>67</v>
      </c>
      <c r="F40" t="s">
        <v>22</v>
      </c>
      <c r="G40" t="s">
        <v>3</v>
      </c>
      <c r="H40" t="s">
        <v>49</v>
      </c>
      <c r="I40"/>
      <c r="J40"/>
      <c r="K40"/>
      <c r="L40"/>
      <c r="M40" t="s">
        <v>191</v>
      </c>
      <c r="N40"/>
      <c r="O40"/>
      <c r="P40" s="1">
        <f>+P36+10</f>
        <v>46095</v>
      </c>
      <c r="Q40">
        <v>1117716</v>
      </c>
      <c r="R40"/>
    </row>
    <row r="41" spans="1:18" s="8" customFormat="1" x14ac:dyDescent="0.25">
      <c r="A41">
        <v>2616</v>
      </c>
      <c r="B41" t="s">
        <v>0</v>
      </c>
      <c r="C41" t="s">
        <v>64</v>
      </c>
      <c r="D41" s="1">
        <v>45876</v>
      </c>
      <c r="E41" t="s">
        <v>65</v>
      </c>
      <c r="F41" t="s">
        <v>63</v>
      </c>
      <c r="G41" t="s">
        <v>3</v>
      </c>
      <c r="H41" t="s">
        <v>49</v>
      </c>
      <c r="I41"/>
      <c r="J41"/>
      <c r="K41"/>
      <c r="L41"/>
      <c r="M41" t="s">
        <v>191</v>
      </c>
      <c r="N41"/>
      <c r="O41"/>
      <c r="P41" s="1">
        <f>+P37+10</f>
        <v>46095</v>
      </c>
      <c r="Q41">
        <v>1117716</v>
      </c>
      <c r="R41"/>
    </row>
    <row r="42" spans="1:18" x14ac:dyDescent="0.25">
      <c r="A42">
        <v>2630</v>
      </c>
      <c r="B42" t="s">
        <v>0</v>
      </c>
      <c r="C42" t="s">
        <v>61</v>
      </c>
      <c r="D42" s="1">
        <v>45890</v>
      </c>
      <c r="E42" t="s">
        <v>62</v>
      </c>
      <c r="F42" t="s">
        <v>63</v>
      </c>
      <c r="G42" t="s">
        <v>3</v>
      </c>
      <c r="H42" t="s">
        <v>49</v>
      </c>
      <c r="M42" t="s">
        <v>194</v>
      </c>
      <c r="P42" s="1">
        <f>+P38+10</f>
        <v>46095</v>
      </c>
      <c r="Q42">
        <v>1117716</v>
      </c>
    </row>
    <row r="43" spans="1:18" x14ac:dyDescent="0.25">
      <c r="A43">
        <v>2637</v>
      </c>
      <c r="B43" t="s">
        <v>4</v>
      </c>
      <c r="C43" t="s">
        <v>5</v>
      </c>
      <c r="D43" s="1">
        <v>45890</v>
      </c>
      <c r="E43" t="s">
        <v>20</v>
      </c>
      <c r="F43" t="s">
        <v>7</v>
      </c>
      <c r="G43" t="s">
        <v>3</v>
      </c>
      <c r="H43" t="s">
        <v>49</v>
      </c>
      <c r="M43" t="s">
        <v>190</v>
      </c>
      <c r="P43" s="1">
        <f>+P39+10</f>
        <v>46081</v>
      </c>
      <c r="Q43">
        <v>1117716</v>
      </c>
    </row>
    <row r="44" spans="1:18" hidden="1" x14ac:dyDescent="0.25">
      <c r="A44">
        <v>2666</v>
      </c>
      <c r="B44" t="s">
        <v>8</v>
      </c>
      <c r="C44" t="s">
        <v>54</v>
      </c>
      <c r="D44" s="1">
        <v>45953</v>
      </c>
      <c r="E44" t="s">
        <v>19</v>
      </c>
      <c r="F44" t="s">
        <v>2</v>
      </c>
      <c r="G44" t="s">
        <v>16</v>
      </c>
      <c r="H44" t="s">
        <v>49</v>
      </c>
      <c r="J44" t="s">
        <v>127</v>
      </c>
      <c r="K44" t="s">
        <v>128</v>
      </c>
      <c r="L44">
        <v>34251</v>
      </c>
      <c r="M44" t="s">
        <v>129</v>
      </c>
      <c r="N44" t="s">
        <v>130</v>
      </c>
      <c r="O44" t="s">
        <v>131</v>
      </c>
      <c r="P44" s="1">
        <v>45975</v>
      </c>
      <c r="Q44" s="11">
        <v>6658723.5599999996</v>
      </c>
      <c r="R44" t="s">
        <v>47</v>
      </c>
    </row>
    <row r="45" spans="1:18" x14ac:dyDescent="0.25">
      <c r="A45">
        <v>2681</v>
      </c>
      <c r="B45" t="s">
        <v>8</v>
      </c>
      <c r="C45" t="s">
        <v>17</v>
      </c>
      <c r="D45" s="1">
        <v>45968</v>
      </c>
      <c r="E45" t="s">
        <v>18</v>
      </c>
      <c r="F45" t="s">
        <v>7</v>
      </c>
      <c r="G45" t="s">
        <v>16</v>
      </c>
      <c r="H45" t="s">
        <v>49</v>
      </c>
      <c r="M45" t="s">
        <v>194</v>
      </c>
      <c r="P45" s="1">
        <f>+P41+10</f>
        <v>46105</v>
      </c>
      <c r="Q45">
        <v>1117716</v>
      </c>
    </row>
    <row r="46" spans="1:18" hidden="1" x14ac:dyDescent="0.25">
      <c r="A46">
        <v>2688</v>
      </c>
      <c r="B46" t="s">
        <v>8</v>
      </c>
      <c r="C46" t="s">
        <v>53</v>
      </c>
      <c r="D46" s="1">
        <v>45968</v>
      </c>
      <c r="E46" t="s">
        <v>15</v>
      </c>
      <c r="F46" t="s">
        <v>2</v>
      </c>
      <c r="G46" t="s">
        <v>16</v>
      </c>
      <c r="H46" t="s">
        <v>49</v>
      </c>
      <c r="J46" t="s">
        <v>122</v>
      </c>
      <c r="K46" t="s">
        <v>123</v>
      </c>
      <c r="L46">
        <v>34277</v>
      </c>
      <c r="M46" t="s">
        <v>124</v>
      </c>
      <c r="N46" t="s">
        <v>125</v>
      </c>
      <c r="O46" t="s">
        <v>126</v>
      </c>
      <c r="P46" s="1">
        <v>46008</v>
      </c>
      <c r="Q46" s="11">
        <v>3326270.84</v>
      </c>
      <c r="R46" t="s">
        <v>47</v>
      </c>
    </row>
    <row r="47" spans="1:18" x14ac:dyDescent="0.25">
      <c r="A47">
        <v>2689</v>
      </c>
      <c r="B47" t="s">
        <v>8</v>
      </c>
      <c r="C47" t="s">
        <v>14</v>
      </c>
      <c r="D47" s="1">
        <v>45968</v>
      </c>
      <c r="E47" t="s">
        <v>15</v>
      </c>
      <c r="F47" t="s">
        <v>7</v>
      </c>
      <c r="G47" t="s">
        <v>3</v>
      </c>
      <c r="H47" t="s">
        <v>49</v>
      </c>
      <c r="M47" t="s">
        <v>196</v>
      </c>
      <c r="P47" s="1">
        <f>+P43+10</f>
        <v>46091</v>
      </c>
      <c r="Q47">
        <v>1117716</v>
      </c>
    </row>
    <row r="48" spans="1:18" hidden="1" x14ac:dyDescent="0.25">
      <c r="A48">
        <v>2708</v>
      </c>
      <c r="B48" t="s">
        <v>0</v>
      </c>
      <c r="C48" t="s">
        <v>52</v>
      </c>
      <c r="D48" s="1">
        <v>45995</v>
      </c>
      <c r="E48" t="s">
        <v>12</v>
      </c>
      <c r="F48" t="s">
        <v>2</v>
      </c>
      <c r="G48" t="s">
        <v>13</v>
      </c>
      <c r="H48" t="s">
        <v>49</v>
      </c>
      <c r="J48" t="s">
        <v>117</v>
      </c>
      <c r="K48" t="s">
        <v>118</v>
      </c>
      <c r="L48">
        <v>34299</v>
      </c>
      <c r="M48" t="s">
        <v>119</v>
      </c>
      <c r="N48" t="s">
        <v>120</v>
      </c>
      <c r="O48" t="s">
        <v>121</v>
      </c>
      <c r="P48" s="1">
        <v>46045</v>
      </c>
      <c r="Q48" s="11">
        <v>4626362.5</v>
      </c>
      <c r="R48" t="s">
        <v>47</v>
      </c>
    </row>
    <row r="49" spans="1:18" hidden="1" x14ac:dyDescent="0.25">
      <c r="A49">
        <v>2739</v>
      </c>
      <c r="B49" t="s">
        <v>0</v>
      </c>
      <c r="C49" t="s">
        <v>51</v>
      </c>
      <c r="D49" s="1">
        <v>46037</v>
      </c>
      <c r="E49" s="2" t="s">
        <v>11</v>
      </c>
      <c r="F49" t="s">
        <v>2</v>
      </c>
      <c r="G49" t="s">
        <v>3</v>
      </c>
      <c r="H49" t="s">
        <v>49</v>
      </c>
      <c r="J49" t="s">
        <v>112</v>
      </c>
      <c r="K49" t="s">
        <v>113</v>
      </c>
      <c r="L49">
        <v>34296</v>
      </c>
      <c r="M49" t="s">
        <v>114</v>
      </c>
      <c r="N49" t="s">
        <v>115</v>
      </c>
      <c r="O49" t="s">
        <v>116</v>
      </c>
      <c r="P49" s="1">
        <v>46080</v>
      </c>
      <c r="Q49" s="11">
        <v>798308.9</v>
      </c>
      <c r="R49" t="s">
        <v>47</v>
      </c>
    </row>
    <row r="50" spans="1:18" hidden="1" x14ac:dyDescent="0.25">
      <c r="A50">
        <v>2767</v>
      </c>
      <c r="B50" t="s">
        <v>8</v>
      </c>
      <c r="C50" t="s">
        <v>50</v>
      </c>
      <c r="D50" s="1">
        <v>46058</v>
      </c>
      <c r="E50" t="s">
        <v>9</v>
      </c>
      <c r="F50" t="s">
        <v>2</v>
      </c>
      <c r="G50" t="s">
        <v>10</v>
      </c>
      <c r="H50" t="s">
        <v>49</v>
      </c>
      <c r="J50" t="s">
        <v>107</v>
      </c>
      <c r="K50" t="s">
        <v>108</v>
      </c>
      <c r="L50">
        <v>34265</v>
      </c>
      <c r="M50" t="s">
        <v>109</v>
      </c>
      <c r="N50" t="s">
        <v>110</v>
      </c>
      <c r="O50" t="s">
        <v>111</v>
      </c>
      <c r="P50" s="1">
        <v>46092</v>
      </c>
      <c r="Q50" s="11">
        <v>138078.72</v>
      </c>
      <c r="R50" t="s">
        <v>47</v>
      </c>
    </row>
    <row r="51" spans="1:18" x14ac:dyDescent="0.25">
      <c r="A51">
        <v>2778</v>
      </c>
      <c r="B51" t="s">
        <v>4</v>
      </c>
      <c r="C51" t="s">
        <v>5</v>
      </c>
      <c r="D51" s="1">
        <v>46051</v>
      </c>
      <c r="E51" t="s">
        <v>6</v>
      </c>
      <c r="F51" t="s">
        <v>7</v>
      </c>
      <c r="G51" t="s">
        <v>3</v>
      </c>
      <c r="H51" t="s">
        <v>49</v>
      </c>
      <c r="M51" t="s">
        <v>196</v>
      </c>
      <c r="P51" s="1">
        <v>46037</v>
      </c>
      <c r="Q51">
        <v>1117716</v>
      </c>
    </row>
    <row r="52" spans="1:18" hidden="1" x14ac:dyDescent="0.25">
      <c r="A52">
        <v>2782</v>
      </c>
      <c r="B52" t="s">
        <v>0</v>
      </c>
      <c r="C52" t="s">
        <v>48</v>
      </c>
      <c r="D52" s="1">
        <v>46065</v>
      </c>
      <c r="E52" t="s">
        <v>1</v>
      </c>
      <c r="F52" t="s">
        <v>2</v>
      </c>
      <c r="G52" t="s">
        <v>3</v>
      </c>
      <c r="H52" t="s">
        <v>49</v>
      </c>
      <c r="J52" t="s">
        <v>42</v>
      </c>
      <c r="K52" t="s">
        <v>43</v>
      </c>
      <c r="L52">
        <v>7251</v>
      </c>
      <c r="M52" t="s">
        <v>44</v>
      </c>
      <c r="N52" t="s">
        <v>45</v>
      </c>
      <c r="O52" t="s">
        <v>46</v>
      </c>
      <c r="P52" s="1">
        <v>46085</v>
      </c>
      <c r="Q52" s="11">
        <v>184883.6</v>
      </c>
      <c r="R52" t="s">
        <v>47</v>
      </c>
    </row>
    <row r="53" spans="1:18" x14ac:dyDescent="0.25">
      <c r="P53" s="1"/>
    </row>
  </sheetData>
  <autoFilter ref="A1:R52" xr:uid="{00000000-0001-0000-0000-000000000000}">
    <filterColumn colId="10">
      <filters blank="1"/>
    </filterColumn>
  </autoFilter>
  <sortState xmlns:xlrd2="http://schemas.microsoft.com/office/spreadsheetml/2017/richdata2" ref="A2:R53">
    <sortCondition ref="A2:A5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Kurtarılan_Sayfa1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Eyüp KADIOĞLU</dc:creator>
  <cp:lastModifiedBy>msoft31755</cp:lastModifiedBy>
  <dcterms:created xsi:type="dcterms:W3CDTF">2026-05-12T08:06:23Z</dcterms:created>
  <dcterms:modified xsi:type="dcterms:W3CDTF">2026-05-14T11:44:03Z</dcterms:modified>
</cp:coreProperties>
</file>